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98b7a7b7913131/Service Manuals/MS3Pro/"/>
    </mc:Choice>
  </mc:AlternateContent>
  <xr:revisionPtr revIDLastSave="403" documentId="8_{6CA3D8D2-0AA6-6846-8979-952F75750FE1}" xr6:coauthVersionLast="47" xr6:coauthVersionMax="47" xr10:uidLastSave="{2C0887D2-CD4B-42DC-94E9-74FB33C156A2}"/>
  <bookViews>
    <workbookView xWindow="-120" yWindow="-120" windowWidth="29040" windowHeight="15720" xr2:uid="{1A5934EF-575A-D540-9A05-2418C011D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" i="1" l="1"/>
  <c r="P29" i="1"/>
  <c r="O29" i="1"/>
  <c r="N29" i="1"/>
  <c r="AB3" i="1"/>
  <c r="W5" i="1" l="1"/>
  <c r="W9" i="1"/>
  <c r="W10" i="1"/>
  <c r="W14" i="1"/>
  <c r="W15" i="1"/>
  <c r="W19" i="1"/>
  <c r="W20" i="1"/>
  <c r="W4" i="1"/>
  <c r="K5" i="1"/>
  <c r="K9" i="1"/>
  <c r="K10" i="1"/>
  <c r="K14" i="1"/>
  <c r="K15" i="1"/>
  <c r="K19" i="1"/>
  <c r="K20" i="1"/>
  <c r="K4" i="1"/>
  <c r="E5" i="1"/>
  <c r="E9" i="1"/>
  <c r="E10" i="1"/>
  <c r="E14" i="1"/>
  <c r="E15" i="1"/>
  <c r="E19" i="1"/>
  <c r="E20" i="1"/>
  <c r="E4" i="1"/>
  <c r="Q5" i="1"/>
  <c r="Q9" i="1"/>
  <c r="Q10" i="1"/>
  <c r="Q14" i="1"/>
  <c r="Q15" i="1"/>
  <c r="Q19" i="1"/>
  <c r="Q20" i="1"/>
  <c r="Q4" i="1"/>
  <c r="AB4" i="1"/>
  <c r="AB5" i="1"/>
  <c r="AC5" i="1" s="1"/>
  <c r="AB6" i="1"/>
  <c r="AC6" i="1" s="1"/>
  <c r="AC3" i="1"/>
  <c r="AC4" i="1" l="1"/>
</calcChain>
</file>

<file path=xl/sharedStrings.xml><?xml version="1.0" encoding="utf-8"?>
<sst xmlns="http://schemas.openxmlformats.org/spreadsheetml/2006/main" count="101" uniqueCount="26">
  <si>
    <t>Cylinder 1</t>
  </si>
  <si>
    <t>Orig GAP</t>
  </si>
  <si>
    <t>Desired GAP</t>
  </si>
  <si>
    <t>Street Performance</t>
  </si>
  <si>
    <t>Moderate Turbo</t>
  </si>
  <si>
    <t>Drag/oval</t>
  </si>
  <si>
    <t>Turbo Nitros Race</t>
  </si>
  <si>
    <t>Bore</t>
  </si>
  <si>
    <t>TOP Ring GAP</t>
  </si>
  <si>
    <t>Bottom Ring gAP</t>
  </si>
  <si>
    <t>Cylinder 2</t>
  </si>
  <si>
    <t>Cylinder 3</t>
  </si>
  <si>
    <t>Cylinder 4</t>
  </si>
  <si>
    <t>RING Set 1</t>
  </si>
  <si>
    <t>Thick</t>
  </si>
  <si>
    <t>Difference</t>
  </si>
  <si>
    <t>RING Set 2</t>
  </si>
  <si>
    <t>RING Set 3</t>
  </si>
  <si>
    <t>RING Set 4</t>
  </si>
  <si>
    <t>Top</t>
  </si>
  <si>
    <t>Cylder Bore</t>
  </si>
  <si>
    <t>Cyl 1</t>
  </si>
  <si>
    <t>Cyl 2</t>
  </si>
  <si>
    <t>Cyl 3</t>
  </si>
  <si>
    <t>Cyl 4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</si>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</sst>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3" xfId="0" applyFont="1" applyFill="1" applyBorder="1" applyAlignment="1">
      <alignment horizontal="center"/>
    </xf>
    <xf numFmtId="0" fontId="2" fillId="0" borderId="0" xfId="0" applyFont="1"/>
    <xf numFmtId="0" fontId="2" fillId="2" borderId="3" xfId="0" applyFont="1" applyFill="1" applyBorder="1"/>
    <xf numFmtId="0" fontId="2" fillId="2" borderId="5" xfId="0" applyFont="1" applyFill="1" applyBorder="1"/>
    <xf numFmtId="0" fontId="2" fillId="3" borderId="4" xfId="0" applyFont="1" applyFill="1" applyBorder="1"/>
    <xf numFmtId="0" fontId="2" fillId="3" borderId="0" xfId="0" applyFont="1" applyFill="1"/>
    <xf numFmtId="164" fontId="2" fillId="0" borderId="0" xfId="0" applyNumberFormat="1" applyFont="1"/>
    <xf numFmtId="165" fontId="2" fillId="0" borderId="0" xfId="0" applyNumberFormat="1" applyFont="1"/>
    <xf numFmtId="164" fontId="2" fillId="2" borderId="5" xfId="0" applyNumberFormat="1" applyFont="1" applyFill="1" applyBorder="1"/>
    <xf numFmtId="165" fontId="2" fillId="3" borderId="0" xfId="0" applyNumberFormat="1" applyFont="1" applyFill="1"/>
    <xf numFmtId="164" fontId="2" fillId="2" borderId="8" xfId="0" applyNumberFormat="1" applyFont="1" applyFill="1" applyBorder="1"/>
    <xf numFmtId="0" fontId="2" fillId="3" borderId="6" xfId="0" applyFont="1" applyFill="1" applyBorder="1"/>
    <xf numFmtId="165" fontId="2" fillId="3" borderId="7" xfId="0" applyNumberFormat="1" applyFont="1" applyFill="1" applyBorder="1"/>
    <xf numFmtId="164" fontId="2" fillId="2" borderId="3" xfId="0" applyNumberFormat="1" applyFont="1" applyFill="1" applyBorder="1"/>
    <xf numFmtId="0" fontId="2" fillId="3" borderId="7" xfId="0" applyFont="1" applyFill="1" applyBorder="1"/>
    <xf numFmtId="0" fontId="2" fillId="2" borderId="0" xfId="0" applyFont="1" applyFill="1"/>
    <xf numFmtId="0" fontId="2" fillId="5" borderId="4" xfId="0" applyFont="1" applyFill="1" applyBorder="1"/>
    <xf numFmtId="0" fontId="2" fillId="5" borderId="0" xfId="0" applyFont="1" applyFill="1"/>
    <xf numFmtId="165" fontId="2" fillId="5" borderId="0" xfId="0" applyNumberFormat="1" applyFont="1" applyFill="1"/>
    <xf numFmtId="0" fontId="2" fillId="5" borderId="6" xfId="0" applyFont="1" applyFill="1" applyBorder="1"/>
    <xf numFmtId="0" fontId="2" fillId="5" borderId="7" xfId="0" applyFont="1" applyFill="1" applyBorder="1"/>
    <xf numFmtId="165" fontId="2" fillId="5" borderId="7" xfId="0" applyNumberFormat="1" applyFont="1" applyFill="1" applyBorder="1"/>
    <xf numFmtId="0" fontId="2" fillId="4" borderId="4" xfId="0" applyFont="1" applyFill="1" applyBorder="1"/>
    <xf numFmtId="0" fontId="2" fillId="4" borderId="0" xfId="0" applyFont="1" applyFill="1"/>
    <xf numFmtId="165" fontId="2" fillId="4" borderId="0" xfId="0" applyNumberFormat="1" applyFont="1" applyFill="1"/>
    <xf numFmtId="0" fontId="2" fillId="4" borderId="6" xfId="0" applyFont="1" applyFill="1" applyBorder="1"/>
    <xf numFmtId="165" fontId="2" fillId="4" borderId="7" xfId="0" applyNumberFormat="1" applyFont="1" applyFill="1" applyBorder="1"/>
    <xf numFmtId="0" fontId="2" fillId="4" borderId="7" xfId="0" applyFont="1" applyFill="1" applyBorder="1"/>
    <xf numFmtId="0" fontId="1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1803-23D6-E34E-9597-6FDCC7E994A7}">
  <dimension ref="A1:AC123"/>
  <sheetViews>
    <sheetView tabSelected="1" topLeftCell="E1" workbookViewId="0">
      <selection activeCell="Y5" sqref="Y5:AC5"/>
    </sheetView>
  </sheetViews>
  <sheetFormatPr defaultColWidth="10.875" defaultRowHeight="15.75" x14ac:dyDescent="0.25"/>
  <cols>
    <col min="1" max="1" width="11.5" style="4" bestFit="1" customWidth="1"/>
    <col min="2" max="2" width="6.625" style="4" bestFit="1" customWidth="1"/>
    <col min="3" max="3" width="8.625" style="4" bestFit="1" customWidth="1"/>
    <col min="4" max="4" width="11.375" style="4" bestFit="1" customWidth="1"/>
    <col min="5" max="5" width="9.625" style="18" bestFit="1" customWidth="1"/>
    <col min="6" max="6" width="3.875" style="4" customWidth="1"/>
    <col min="7" max="7" width="11.5" style="4" bestFit="1" customWidth="1"/>
    <col min="8" max="8" width="6.625" style="4" bestFit="1" customWidth="1"/>
    <col min="9" max="9" width="8.625" style="4" bestFit="1" customWidth="1"/>
    <col min="10" max="10" width="11.375" style="4" bestFit="1" customWidth="1"/>
    <col min="11" max="11" width="9.625" style="18" bestFit="1" customWidth="1"/>
    <col min="12" max="12" width="4.125" style="4" customWidth="1"/>
    <col min="13" max="13" width="11.5" style="4" bestFit="1" customWidth="1"/>
    <col min="14" max="14" width="6.625" style="4" bestFit="1" customWidth="1"/>
    <col min="15" max="15" width="8.625" style="4" bestFit="1" customWidth="1"/>
    <col min="16" max="16" width="11.375" style="4" bestFit="1" customWidth="1"/>
    <col min="17" max="17" width="9.625" style="18" bestFit="1" customWidth="1"/>
    <col min="18" max="18" width="4.875" style="4" customWidth="1"/>
    <col min="19" max="19" width="11.5" style="4" bestFit="1" customWidth="1"/>
    <col min="20" max="20" width="6.625" style="4" bestFit="1" customWidth="1"/>
    <col min="21" max="21" width="8.625" style="4" bestFit="1" customWidth="1"/>
    <col min="22" max="22" width="11.375" style="4" bestFit="1" customWidth="1"/>
    <col min="23" max="23" width="9.625" style="18" bestFit="1" customWidth="1"/>
    <col min="24" max="24" width="4.125" style="4" customWidth="1"/>
    <col min="25" max="25" width="17.375" style="4" bestFit="1" customWidth="1"/>
    <col min="26" max="26" width="6.625" style="4" bestFit="1" customWidth="1"/>
    <col min="27" max="27" width="7.625" style="4" bestFit="1" customWidth="1"/>
    <col min="28" max="28" width="12.625" style="4" bestFit="1" customWidth="1"/>
    <col min="29" max="29" width="15.125" style="4" bestFit="1" customWidth="1"/>
    <col min="30" max="16384" width="10.875" style="4"/>
  </cols>
  <sheetData>
    <row r="1" spans="1:29" s="2" customFormat="1" ht="21.75" thickBot="1" x14ac:dyDescent="0.4">
      <c r="A1" s="31" t="s">
        <v>13</v>
      </c>
      <c r="B1" s="31"/>
      <c r="C1" s="31"/>
      <c r="D1" s="31"/>
      <c r="E1" s="1"/>
      <c r="G1" s="31" t="s">
        <v>16</v>
      </c>
      <c r="H1" s="31"/>
      <c r="I1" s="31"/>
      <c r="J1" s="31"/>
      <c r="K1" s="1"/>
      <c r="M1" s="31" t="s">
        <v>17</v>
      </c>
      <c r="N1" s="31"/>
      <c r="O1" s="31"/>
      <c r="P1" s="31"/>
      <c r="Q1" s="1"/>
      <c r="S1" s="31" t="s">
        <v>18</v>
      </c>
      <c r="T1" s="31"/>
      <c r="U1" s="31"/>
      <c r="V1" s="31"/>
      <c r="W1" s="1"/>
    </row>
    <row r="2" spans="1:29" x14ac:dyDescent="0.25">
      <c r="A2" s="32" t="s">
        <v>0</v>
      </c>
      <c r="B2" s="33"/>
      <c r="C2" s="33"/>
      <c r="D2" s="33"/>
      <c r="E2" s="3" t="s">
        <v>15</v>
      </c>
      <c r="G2" s="32" t="s">
        <v>0</v>
      </c>
      <c r="H2" s="33"/>
      <c r="I2" s="33"/>
      <c r="J2" s="33"/>
      <c r="K2" s="3" t="s">
        <v>15</v>
      </c>
      <c r="M2" s="34" t="s">
        <v>0</v>
      </c>
      <c r="N2" s="35"/>
      <c r="O2" s="35"/>
      <c r="P2" s="35"/>
      <c r="Q2" s="5" t="s">
        <v>15</v>
      </c>
      <c r="S2" s="36" t="s">
        <v>0</v>
      </c>
      <c r="T2" s="37"/>
      <c r="U2" s="37"/>
      <c r="V2" s="37"/>
      <c r="W2" s="3" t="s">
        <v>15</v>
      </c>
      <c r="AA2" s="4" t="s">
        <v>7</v>
      </c>
      <c r="AB2" s="4" t="s">
        <v>8</v>
      </c>
      <c r="AC2" s="4" t="s">
        <v>9</v>
      </c>
    </row>
    <row r="3" spans="1:29" x14ac:dyDescent="0.25">
      <c r="A3" s="25"/>
      <c r="B3" s="26" t="s">
        <v>14</v>
      </c>
      <c r="C3" s="26" t="s">
        <v>1</v>
      </c>
      <c r="D3" s="26" t="s">
        <v>2</v>
      </c>
      <c r="E3" s="6"/>
      <c r="G3" s="25"/>
      <c r="H3" s="26"/>
      <c r="I3" s="26" t="s">
        <v>1</v>
      </c>
      <c r="J3" s="26" t="s">
        <v>2</v>
      </c>
      <c r="K3" s="6"/>
      <c r="M3" s="7"/>
      <c r="N3" s="8"/>
      <c r="O3" s="8" t="s">
        <v>1</v>
      </c>
      <c r="P3" s="8" t="s">
        <v>2</v>
      </c>
      <c r="Q3" s="6"/>
      <c r="S3" s="19"/>
      <c r="T3" s="20"/>
      <c r="U3" s="20" t="s">
        <v>1</v>
      </c>
      <c r="V3" s="20" t="s">
        <v>2</v>
      </c>
      <c r="W3" s="6"/>
      <c r="Y3" s="4" t="s">
        <v>3</v>
      </c>
      <c r="Z3" s="9">
        <v>4.4999999999999997E-3</v>
      </c>
      <c r="AA3" s="10">
        <v>3.306</v>
      </c>
      <c r="AB3" s="10">
        <f>Z3*AA3</f>
        <v>1.4877E-2</v>
      </c>
      <c r="AC3" s="10">
        <f>AB3*1.25</f>
        <v>1.8596249999999998E-2</v>
      </c>
    </row>
    <row r="4" spans="1:29" x14ac:dyDescent="0.25">
      <c r="A4" s="25" t="s">
        <v>19</v>
      </c>
      <c r="B4" s="27">
        <v>0.98</v>
      </c>
      <c r="C4" s="27">
        <v>0.01</v>
      </c>
      <c r="D4" s="27">
        <v>1.7000000000000001E-2</v>
      </c>
      <c r="E4" s="11">
        <f>D4-C4</f>
        <v>7.000000000000001E-3</v>
      </c>
      <c r="G4" s="25" t="s">
        <v>19</v>
      </c>
      <c r="H4" s="27">
        <v>0.99</v>
      </c>
      <c r="I4" s="27">
        <v>0.01</v>
      </c>
      <c r="J4" s="27">
        <v>1.7000000000000001E-2</v>
      </c>
      <c r="K4" s="11">
        <f>J4-I4</f>
        <v>7.000000000000001E-3</v>
      </c>
      <c r="M4" s="7" t="s">
        <v>19</v>
      </c>
      <c r="N4" s="12">
        <v>0.98</v>
      </c>
      <c r="O4" s="12">
        <v>1.0999999999999999E-2</v>
      </c>
      <c r="P4" s="12">
        <v>1.7000000000000001E-2</v>
      </c>
      <c r="Q4" s="11">
        <f>P4-O4</f>
        <v>6.0000000000000019E-3</v>
      </c>
      <c r="S4" s="19" t="s">
        <v>19</v>
      </c>
      <c r="T4" s="21">
        <v>0.99</v>
      </c>
      <c r="U4" s="21">
        <v>0.01</v>
      </c>
      <c r="V4" s="21">
        <v>1.7000000000000001E-2</v>
      </c>
      <c r="W4" s="11">
        <f>V4-U4</f>
        <v>7.000000000000001E-3</v>
      </c>
      <c r="Y4" s="4" t="s">
        <v>4</v>
      </c>
      <c r="Z4" s="9">
        <v>5.0000000000000001E-3</v>
      </c>
      <c r="AA4" s="10">
        <v>3.306</v>
      </c>
      <c r="AB4" s="10">
        <f t="shared" ref="AB4:AB6" si="0">Z4*AA4</f>
        <v>1.653E-2</v>
      </c>
      <c r="AC4" s="10">
        <f t="shared" ref="AC4:AC6" si="1">AB4*1.25</f>
        <v>2.06625E-2</v>
      </c>
    </row>
    <row r="5" spans="1:29" ht="16.5" thickBot="1" x14ac:dyDescent="0.3">
      <c r="A5" s="28" t="s">
        <v>25</v>
      </c>
      <c r="B5" s="29">
        <v>1.18</v>
      </c>
      <c r="C5" s="29">
        <v>2.1999999999999999E-2</v>
      </c>
      <c r="D5" s="29">
        <v>2.1000000000000001E-2</v>
      </c>
      <c r="E5" s="13">
        <f t="shared" ref="E5:E20" si="2">D5-C5</f>
        <v>-9.9999999999999742E-4</v>
      </c>
      <c r="G5" s="28" t="s">
        <v>25</v>
      </c>
      <c r="H5" s="29">
        <v>1.19</v>
      </c>
      <c r="I5" s="29">
        <v>2.1999999999999999E-2</v>
      </c>
      <c r="J5" s="29">
        <v>2.1000000000000001E-2</v>
      </c>
      <c r="K5" s="13">
        <f t="shared" ref="K5:K20" si="3">J5-I5</f>
        <v>-9.9999999999999742E-4</v>
      </c>
      <c r="M5" s="14" t="s">
        <v>25</v>
      </c>
      <c r="N5" s="15">
        <v>1.19</v>
      </c>
      <c r="O5" s="15">
        <v>0.02</v>
      </c>
      <c r="P5" s="15">
        <v>2.1000000000000001E-2</v>
      </c>
      <c r="Q5" s="13">
        <f t="shared" ref="Q5:Q20" si="4">P5-O5</f>
        <v>1.0000000000000009E-3</v>
      </c>
      <c r="S5" s="22" t="s">
        <v>25</v>
      </c>
      <c r="T5" s="24">
        <v>1.19</v>
      </c>
      <c r="U5" s="24">
        <v>0.02</v>
      </c>
      <c r="V5" s="24">
        <v>2.1000000000000001E-2</v>
      </c>
      <c r="W5" s="13">
        <f t="shared" ref="W5:W20" si="5">V5-U5</f>
        <v>1.0000000000000009E-3</v>
      </c>
      <c r="Y5" s="4" t="s">
        <v>5</v>
      </c>
      <c r="Z5" s="9">
        <v>5.4999999999999997E-3</v>
      </c>
      <c r="AA5" s="10">
        <v>3.306</v>
      </c>
      <c r="AB5" s="10">
        <f t="shared" si="0"/>
        <v>1.8182999999999998E-2</v>
      </c>
      <c r="AC5" s="10">
        <f t="shared" si="1"/>
        <v>2.2728749999999999E-2</v>
      </c>
    </row>
    <row r="6" spans="1:29" ht="16.5" thickBot="1" x14ac:dyDescent="0.3">
      <c r="E6" s="9"/>
      <c r="K6" s="9"/>
      <c r="Q6" s="9"/>
      <c r="W6" s="9"/>
      <c r="Y6" s="4" t="s">
        <v>6</v>
      </c>
      <c r="Z6" s="9">
        <v>6.4999999999999997E-3</v>
      </c>
      <c r="AA6" s="10">
        <v>3.306</v>
      </c>
      <c r="AB6" s="10">
        <f t="shared" si="0"/>
        <v>2.1488999999999998E-2</v>
      </c>
      <c r="AC6" s="10">
        <f t="shared" si="1"/>
        <v>2.6861249999999996E-2</v>
      </c>
    </row>
    <row r="7" spans="1:29" x14ac:dyDescent="0.25">
      <c r="A7" s="34" t="s">
        <v>10</v>
      </c>
      <c r="B7" s="35"/>
      <c r="C7" s="35"/>
      <c r="D7" s="35"/>
      <c r="E7" s="16"/>
      <c r="G7" s="36" t="s">
        <v>10</v>
      </c>
      <c r="H7" s="37"/>
      <c r="I7" s="37"/>
      <c r="J7" s="37"/>
      <c r="K7" s="16"/>
      <c r="M7" s="36" t="s">
        <v>10</v>
      </c>
      <c r="N7" s="37"/>
      <c r="O7" s="37"/>
      <c r="P7" s="37"/>
      <c r="Q7" s="16"/>
      <c r="S7" s="36" t="s">
        <v>10</v>
      </c>
      <c r="T7" s="37"/>
      <c r="U7" s="37"/>
      <c r="V7" s="37"/>
      <c r="W7" s="16"/>
    </row>
    <row r="8" spans="1:29" x14ac:dyDescent="0.25">
      <c r="A8" s="7"/>
      <c r="B8" s="8"/>
      <c r="C8" s="8" t="s">
        <v>1</v>
      </c>
      <c r="D8" s="8" t="s">
        <v>2</v>
      </c>
      <c r="E8" s="11"/>
      <c r="G8" s="19"/>
      <c r="H8" s="20"/>
      <c r="I8" s="20" t="s">
        <v>1</v>
      </c>
      <c r="J8" s="20" t="s">
        <v>2</v>
      </c>
      <c r="K8" s="11"/>
      <c r="M8" s="19"/>
      <c r="N8" s="20"/>
      <c r="O8" s="20" t="s">
        <v>1</v>
      </c>
      <c r="P8" s="20" t="s">
        <v>2</v>
      </c>
      <c r="Q8" s="11"/>
      <c r="S8" s="19"/>
      <c r="T8" s="20"/>
      <c r="U8" s="20" t="s">
        <v>1</v>
      </c>
      <c r="V8" s="20" t="s">
        <v>2</v>
      </c>
      <c r="W8" s="11"/>
      <c r="AB8" s="4">
        <v>1.4999999999999999E-2</v>
      </c>
      <c r="AC8" s="4">
        <v>0.23</v>
      </c>
    </row>
    <row r="9" spans="1:29" x14ac:dyDescent="0.25">
      <c r="A9" s="7" t="s">
        <v>19</v>
      </c>
      <c r="B9" s="12"/>
      <c r="C9" s="12">
        <v>0.01</v>
      </c>
      <c r="D9" s="12">
        <v>1.7000000000000001E-2</v>
      </c>
      <c r="E9" s="11">
        <f t="shared" si="2"/>
        <v>7.000000000000001E-3</v>
      </c>
      <c r="G9" s="19" t="s">
        <v>19</v>
      </c>
      <c r="H9" s="20"/>
      <c r="I9" s="21">
        <v>0.01</v>
      </c>
      <c r="J9" s="21">
        <v>1.7000000000000001E-2</v>
      </c>
      <c r="K9" s="11">
        <f t="shared" si="3"/>
        <v>7.000000000000001E-3</v>
      </c>
      <c r="M9" s="19" t="s">
        <v>19</v>
      </c>
      <c r="N9" s="20"/>
      <c r="O9" s="21">
        <v>0.01</v>
      </c>
      <c r="P9" s="21">
        <v>1.7000000000000001E-2</v>
      </c>
      <c r="Q9" s="11">
        <f t="shared" si="4"/>
        <v>7.000000000000001E-3</v>
      </c>
      <c r="S9" s="19" t="s">
        <v>19</v>
      </c>
      <c r="T9" s="20"/>
      <c r="U9" s="21">
        <v>0.01</v>
      </c>
      <c r="V9" s="21">
        <v>1.7000000000000001E-2</v>
      </c>
      <c r="W9" s="11">
        <f t="shared" si="5"/>
        <v>7.000000000000001E-3</v>
      </c>
    </row>
    <row r="10" spans="1:29" ht="16.5" thickBot="1" x14ac:dyDescent="0.3">
      <c r="A10" s="14" t="s">
        <v>25</v>
      </c>
      <c r="B10" s="15"/>
      <c r="C10" s="15">
        <v>0.02</v>
      </c>
      <c r="D10" s="15">
        <v>2.1000000000000001E-2</v>
      </c>
      <c r="E10" s="13">
        <f t="shared" si="2"/>
        <v>1.0000000000000009E-3</v>
      </c>
      <c r="G10" s="22" t="s">
        <v>25</v>
      </c>
      <c r="H10" s="23"/>
      <c r="I10" s="24">
        <v>2.1000000000000001E-2</v>
      </c>
      <c r="J10" s="24">
        <v>2.1000000000000001E-2</v>
      </c>
      <c r="K10" s="13">
        <f t="shared" si="3"/>
        <v>0</v>
      </c>
      <c r="M10" s="22" t="s">
        <v>25</v>
      </c>
      <c r="N10" s="23"/>
      <c r="O10" s="24">
        <v>1.9E-2</v>
      </c>
      <c r="P10" s="24">
        <v>2.1000000000000001E-2</v>
      </c>
      <c r="Q10" s="13">
        <f t="shared" si="4"/>
        <v>2.0000000000000018E-3</v>
      </c>
      <c r="S10" s="22" t="s">
        <v>25</v>
      </c>
      <c r="T10" s="23"/>
      <c r="U10" s="24">
        <v>0.02</v>
      </c>
      <c r="V10" s="24">
        <v>2.1000000000000001E-2</v>
      </c>
      <c r="W10" s="13">
        <f t="shared" si="5"/>
        <v>1.0000000000000009E-3</v>
      </c>
    </row>
    <row r="11" spans="1:29" ht="16.5" thickBot="1" x14ac:dyDescent="0.3">
      <c r="B11" s="10"/>
      <c r="C11" s="10"/>
      <c r="E11" s="9"/>
      <c r="K11" s="9"/>
      <c r="Q11" s="9"/>
      <c r="W11" s="9"/>
    </row>
    <row r="12" spans="1:29" x14ac:dyDescent="0.25">
      <c r="A12" s="32" t="s">
        <v>11</v>
      </c>
      <c r="B12" s="33"/>
      <c r="C12" s="33"/>
      <c r="D12" s="33"/>
      <c r="E12" s="16"/>
      <c r="G12" s="32" t="s">
        <v>11</v>
      </c>
      <c r="H12" s="33"/>
      <c r="I12" s="33"/>
      <c r="J12" s="33"/>
      <c r="K12" s="16"/>
      <c r="M12" s="32" t="s">
        <v>11</v>
      </c>
      <c r="N12" s="33"/>
      <c r="O12" s="33"/>
      <c r="P12" s="33"/>
      <c r="Q12" s="16"/>
      <c r="S12" s="34" t="s">
        <v>11</v>
      </c>
      <c r="T12" s="35"/>
      <c r="U12" s="35"/>
      <c r="V12" s="35"/>
      <c r="W12" s="16"/>
      <c r="Y12" s="4" t="s">
        <v>20</v>
      </c>
    </row>
    <row r="13" spans="1:29" x14ac:dyDescent="0.25">
      <c r="A13" s="25"/>
      <c r="B13" s="26"/>
      <c r="C13" s="26" t="s">
        <v>1</v>
      </c>
      <c r="D13" s="26" t="s">
        <v>2</v>
      </c>
      <c r="E13" s="11"/>
      <c r="G13" s="25"/>
      <c r="H13" s="26"/>
      <c r="I13" s="26" t="s">
        <v>1</v>
      </c>
      <c r="J13" s="26" t="s">
        <v>2</v>
      </c>
      <c r="K13" s="11"/>
      <c r="M13" s="25"/>
      <c r="N13" s="26"/>
      <c r="O13" s="26" t="s">
        <v>1</v>
      </c>
      <c r="P13" s="26" t="s">
        <v>2</v>
      </c>
      <c r="Q13" s="11"/>
      <c r="S13" s="7"/>
      <c r="T13" s="8"/>
      <c r="U13" s="8" t="s">
        <v>1</v>
      </c>
      <c r="V13" s="8" t="s">
        <v>2</v>
      </c>
      <c r="W13" s="11"/>
      <c r="Y13" s="4" t="s">
        <v>21</v>
      </c>
      <c r="Z13" s="10">
        <v>3.306</v>
      </c>
    </row>
    <row r="14" spans="1:29" x14ac:dyDescent="0.25">
      <c r="A14" s="25" t="s">
        <v>19</v>
      </c>
      <c r="B14" s="27"/>
      <c r="C14" s="27">
        <v>1.4E-2</v>
      </c>
      <c r="D14" s="27">
        <v>1.7000000000000001E-2</v>
      </c>
      <c r="E14" s="11">
        <f t="shared" si="2"/>
        <v>3.0000000000000009E-3</v>
      </c>
      <c r="G14" s="25" t="s">
        <v>19</v>
      </c>
      <c r="H14" s="26"/>
      <c r="I14" s="27">
        <v>1.2E-2</v>
      </c>
      <c r="J14" s="27">
        <v>1.7000000000000001E-2</v>
      </c>
      <c r="K14" s="11">
        <f t="shared" si="3"/>
        <v>5.000000000000001E-3</v>
      </c>
      <c r="M14" s="25" t="s">
        <v>19</v>
      </c>
      <c r="N14" s="26"/>
      <c r="O14" s="27">
        <v>1.4E-2</v>
      </c>
      <c r="P14" s="27">
        <v>1.7000000000000001E-2</v>
      </c>
      <c r="Q14" s="11">
        <f t="shared" si="4"/>
        <v>3.0000000000000009E-3</v>
      </c>
      <c r="S14" s="7" t="s">
        <v>19</v>
      </c>
      <c r="T14" s="8"/>
      <c r="U14" s="12">
        <v>1.2E-2</v>
      </c>
      <c r="V14" s="12">
        <v>1.7000000000000001E-2</v>
      </c>
      <c r="W14" s="11">
        <f t="shared" si="5"/>
        <v>5.000000000000001E-3</v>
      </c>
      <c r="Y14" s="4" t="s">
        <v>22</v>
      </c>
      <c r="Z14" s="10">
        <v>3.306</v>
      </c>
    </row>
    <row r="15" spans="1:29" ht="16.5" thickBot="1" x14ac:dyDescent="0.3">
      <c r="A15" s="28" t="s">
        <v>25</v>
      </c>
      <c r="B15" s="29"/>
      <c r="C15" s="29">
        <v>2.4E-2</v>
      </c>
      <c r="D15" s="29">
        <v>2.1000000000000001E-2</v>
      </c>
      <c r="E15" s="13">
        <f t="shared" si="2"/>
        <v>-2.9999999999999992E-3</v>
      </c>
      <c r="G15" s="28" t="s">
        <v>25</v>
      </c>
      <c r="H15" s="30"/>
      <c r="I15" s="29">
        <v>2.4E-2</v>
      </c>
      <c r="J15" s="29">
        <v>2.1000000000000001E-2</v>
      </c>
      <c r="K15" s="13">
        <f t="shared" si="3"/>
        <v>-2.9999999999999992E-3</v>
      </c>
      <c r="M15" s="28" t="s">
        <v>25</v>
      </c>
      <c r="N15" s="30"/>
      <c r="O15" s="29">
        <v>2.4E-2</v>
      </c>
      <c r="P15" s="29">
        <v>2.1000000000000001E-2</v>
      </c>
      <c r="Q15" s="13">
        <f t="shared" si="4"/>
        <v>-2.9999999999999992E-3</v>
      </c>
      <c r="S15" s="14" t="s">
        <v>25</v>
      </c>
      <c r="T15" s="17"/>
      <c r="U15" s="15">
        <v>2.4E-2</v>
      </c>
      <c r="V15" s="15">
        <v>2.1000000000000001E-2</v>
      </c>
      <c r="W15" s="13">
        <f t="shared" si="5"/>
        <v>-2.9999999999999992E-3</v>
      </c>
      <c r="Y15" s="4" t="s">
        <v>23</v>
      </c>
      <c r="Z15" s="10">
        <v>3.3079999999999998</v>
      </c>
    </row>
    <row r="16" spans="1:29" ht="16.5" thickBot="1" x14ac:dyDescent="0.3">
      <c r="E16" s="9"/>
      <c r="K16" s="9"/>
      <c r="P16" s="10"/>
      <c r="Q16" s="9"/>
      <c r="W16" s="9"/>
      <c r="Y16" s="4" t="s">
        <v>24</v>
      </c>
      <c r="Z16" s="10">
        <v>3.3050000000000002</v>
      </c>
    </row>
    <row r="17" spans="1:23" x14ac:dyDescent="0.25">
      <c r="A17" s="36" t="s">
        <v>12</v>
      </c>
      <c r="B17" s="37"/>
      <c r="C17" s="37"/>
      <c r="D17" s="37"/>
      <c r="E17" s="16"/>
      <c r="G17" s="34" t="s">
        <v>12</v>
      </c>
      <c r="H17" s="35"/>
      <c r="I17" s="35"/>
      <c r="J17" s="35"/>
      <c r="K17" s="16"/>
      <c r="M17" s="36" t="s">
        <v>12</v>
      </c>
      <c r="N17" s="37"/>
      <c r="O17" s="37"/>
      <c r="P17" s="37"/>
      <c r="Q17" s="16"/>
      <c r="S17" s="36" t="s">
        <v>12</v>
      </c>
      <c r="T17" s="37"/>
      <c r="U17" s="37"/>
      <c r="V17" s="37"/>
      <c r="W17" s="16"/>
    </row>
    <row r="18" spans="1:23" x14ac:dyDescent="0.25">
      <c r="A18" s="19"/>
      <c r="B18" s="20"/>
      <c r="C18" s="20" t="s">
        <v>1</v>
      </c>
      <c r="D18" s="20" t="s">
        <v>2</v>
      </c>
      <c r="E18" s="11"/>
      <c r="G18" s="7"/>
      <c r="H18" s="8"/>
      <c r="I18" s="8" t="s">
        <v>1</v>
      </c>
      <c r="J18" s="8" t="s">
        <v>2</v>
      </c>
      <c r="K18" s="11"/>
      <c r="M18" s="19"/>
      <c r="N18" s="20"/>
      <c r="O18" s="20" t="s">
        <v>1</v>
      </c>
      <c r="P18" s="20" t="s">
        <v>2</v>
      </c>
      <c r="Q18" s="11"/>
      <c r="S18" s="19"/>
      <c r="T18" s="20"/>
      <c r="U18" s="20" t="s">
        <v>1</v>
      </c>
      <c r="V18" s="20" t="s">
        <v>2</v>
      </c>
      <c r="W18" s="11"/>
    </row>
    <row r="19" spans="1:23" x14ac:dyDescent="0.25">
      <c r="A19" s="19" t="s">
        <v>19</v>
      </c>
      <c r="B19" s="21"/>
      <c r="C19" s="21">
        <v>8.9999999999999993E-3</v>
      </c>
      <c r="D19" s="21">
        <v>1.7000000000000001E-2</v>
      </c>
      <c r="E19" s="11">
        <f t="shared" si="2"/>
        <v>8.0000000000000019E-3</v>
      </c>
      <c r="G19" s="7" t="s">
        <v>19</v>
      </c>
      <c r="H19" s="8"/>
      <c r="I19" s="12">
        <v>8.0000000000000002E-3</v>
      </c>
      <c r="J19" s="12">
        <v>1.7000000000000001E-2</v>
      </c>
      <c r="K19" s="11">
        <f t="shared" si="3"/>
        <v>9.0000000000000011E-3</v>
      </c>
      <c r="M19" s="19" t="s">
        <v>19</v>
      </c>
      <c r="N19" s="20"/>
      <c r="O19" s="21">
        <v>8.9999999999999993E-3</v>
      </c>
      <c r="P19" s="21">
        <v>1.7000000000000001E-2</v>
      </c>
      <c r="Q19" s="11">
        <f t="shared" si="4"/>
        <v>8.0000000000000019E-3</v>
      </c>
      <c r="S19" s="19" t="s">
        <v>19</v>
      </c>
      <c r="T19" s="20"/>
      <c r="U19" s="21">
        <v>0.01</v>
      </c>
      <c r="V19" s="21">
        <v>1.7000000000000001E-2</v>
      </c>
      <c r="W19" s="11">
        <f t="shared" si="5"/>
        <v>7.000000000000001E-3</v>
      </c>
    </row>
    <row r="20" spans="1:23" ht="16.5" thickBot="1" x14ac:dyDescent="0.3">
      <c r="A20" s="22" t="s">
        <v>25</v>
      </c>
      <c r="B20" s="24"/>
      <c r="C20" s="24">
        <v>0.02</v>
      </c>
      <c r="D20" s="24">
        <v>2.1000000000000001E-2</v>
      </c>
      <c r="E20" s="13">
        <f t="shared" si="2"/>
        <v>1.0000000000000009E-3</v>
      </c>
      <c r="G20" s="14" t="s">
        <v>25</v>
      </c>
      <c r="H20" s="17"/>
      <c r="I20" s="15">
        <v>1.9E-2</v>
      </c>
      <c r="J20" s="15">
        <v>2.1000000000000001E-2</v>
      </c>
      <c r="K20" s="13">
        <f t="shared" si="3"/>
        <v>2.0000000000000018E-3</v>
      </c>
      <c r="M20" s="22" t="s">
        <v>25</v>
      </c>
      <c r="N20" s="23"/>
      <c r="O20" s="24">
        <v>0.02</v>
      </c>
      <c r="P20" s="24">
        <v>2.1000000000000001E-2</v>
      </c>
      <c r="Q20" s="13">
        <f t="shared" si="4"/>
        <v>1.0000000000000009E-3</v>
      </c>
      <c r="S20" s="22" t="s">
        <v>25</v>
      </c>
      <c r="T20" s="23"/>
      <c r="U20" s="24">
        <v>1.9E-2</v>
      </c>
      <c r="V20" s="24">
        <v>2.1000000000000001E-2</v>
      </c>
      <c r="W20" s="13">
        <f t="shared" si="5"/>
        <v>2.0000000000000018E-3</v>
      </c>
    </row>
    <row r="21" spans="1:23" x14ac:dyDescent="0.25">
      <c r="E21" s="4"/>
      <c r="K21" s="4"/>
      <c r="Q21" s="4"/>
      <c r="W21" s="4"/>
    </row>
    <row r="22" spans="1:23" x14ac:dyDescent="0.25">
      <c r="E22" s="4"/>
      <c r="K22" s="4"/>
      <c r="Q22" s="4"/>
      <c r="W22" s="4"/>
    </row>
    <row r="23" spans="1:23" x14ac:dyDescent="0.25">
      <c r="E23" s="4"/>
      <c r="K23" s="4"/>
      <c r="Q23" s="4"/>
      <c r="W23" s="4"/>
    </row>
    <row r="24" spans="1:23" x14ac:dyDescent="0.25">
      <c r="E24" s="4"/>
      <c r="K24" s="4"/>
      <c r="Q24" s="4"/>
      <c r="W24" s="4"/>
    </row>
    <row r="25" spans="1:23" x14ac:dyDescent="0.25">
      <c r="E25" s="4"/>
      <c r="K25" s="4"/>
      <c r="Q25" s="4"/>
      <c r="W25" s="4"/>
    </row>
    <row r="26" spans="1:23" x14ac:dyDescent="0.25">
      <c r="E26" s="4"/>
      <c r="K26" s="4"/>
      <c r="Q26" s="4"/>
      <c r="W26" s="4"/>
    </row>
    <row r="27" spans="1:23" x14ac:dyDescent="0.25">
      <c r="E27" s="4"/>
      <c r="K27" s="4"/>
      <c r="N27" s="4">
        <v>1</v>
      </c>
      <c r="O27" s="4">
        <v>2</v>
      </c>
      <c r="P27" s="4">
        <v>3</v>
      </c>
      <c r="Q27" s="4">
        <v>4</v>
      </c>
      <c r="W27" s="4"/>
    </row>
    <row r="28" spans="1:23" x14ac:dyDescent="0.25">
      <c r="E28" s="4"/>
      <c r="K28" s="4"/>
      <c r="M28" s="4">
        <v>3.2080000000000002</v>
      </c>
      <c r="N28" s="4">
        <v>5.0000000000000001E-3</v>
      </c>
      <c r="O28" s="4">
        <v>6.0000000000000001E-3</v>
      </c>
      <c r="P28" s="4">
        <v>6.0000000000000001E-3</v>
      </c>
      <c r="Q28" s="4">
        <v>6.0000000000000001E-3</v>
      </c>
      <c r="W28" s="4"/>
    </row>
    <row r="29" spans="1:23" x14ac:dyDescent="0.25">
      <c r="E29" s="4"/>
      <c r="K29" s="4"/>
      <c r="N29" s="4">
        <f>M28+N28</f>
        <v>3.2130000000000001</v>
      </c>
      <c r="O29" s="4">
        <f>M28+O28</f>
        <v>3.214</v>
      </c>
      <c r="P29" s="4">
        <f>M28+P28</f>
        <v>3.214</v>
      </c>
      <c r="Q29" s="4">
        <f>M28+Q28</f>
        <v>3.214</v>
      </c>
      <c r="W29" s="4"/>
    </row>
    <row r="30" spans="1:23" x14ac:dyDescent="0.25">
      <c r="E30" s="4"/>
      <c r="K30" s="4"/>
      <c r="Q30" s="4"/>
      <c r="W30" s="4"/>
    </row>
    <row r="31" spans="1:23" x14ac:dyDescent="0.25">
      <c r="E31" s="4"/>
      <c r="K31" s="4"/>
      <c r="Q31" s="4"/>
      <c r="W31" s="4"/>
    </row>
    <row r="32" spans="1:23" x14ac:dyDescent="0.25">
      <c r="E32" s="4"/>
      <c r="K32" s="4"/>
      <c r="Q32" s="4"/>
      <c r="W32" s="4"/>
    </row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</sheetData>
  <mergeCells count="20">
    <mergeCell ref="S1:V1"/>
    <mergeCell ref="S2:V2"/>
    <mergeCell ref="S7:V7"/>
    <mergeCell ref="S12:V12"/>
    <mergeCell ref="S17:V17"/>
    <mergeCell ref="G2:J2"/>
    <mergeCell ref="G7:J7"/>
    <mergeCell ref="G12:J12"/>
    <mergeCell ref="G17:J17"/>
    <mergeCell ref="M1:P1"/>
    <mergeCell ref="M2:P2"/>
    <mergeCell ref="M7:P7"/>
    <mergeCell ref="M12:P12"/>
    <mergeCell ref="M17:P17"/>
    <mergeCell ref="G1:J1"/>
    <mergeCell ref="A1:D1"/>
    <mergeCell ref="A2:D2"/>
    <mergeCell ref="A7:D7"/>
    <mergeCell ref="A12:D12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Vargas</dc:creator>
  <cp:lastModifiedBy>Daniel Vargas</cp:lastModifiedBy>
  <dcterms:created xsi:type="dcterms:W3CDTF">2019-04-26T16:06:00Z</dcterms:created>
  <dcterms:modified xsi:type="dcterms:W3CDTF">2023-04-15T16:12:33Z</dcterms:modified>
</cp:coreProperties>
</file>