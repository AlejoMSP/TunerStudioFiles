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75" windowWidth="27555" windowHeight="1204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G11" i="1" l="1"/>
  <c r="J16" i="1"/>
  <c r="J17" i="1" s="1"/>
  <c r="G17" i="1"/>
</calcChain>
</file>

<file path=xl/sharedStrings.xml><?xml version="1.0" encoding="utf-8"?>
<sst xmlns="http://schemas.openxmlformats.org/spreadsheetml/2006/main" count="11" uniqueCount="11">
  <si>
    <t>HP</t>
  </si>
  <si>
    <t>Duty Cycle</t>
  </si>
  <si>
    <t>BSFC</t>
  </si>
  <si>
    <t># inj</t>
  </si>
  <si>
    <t>EST CCs</t>
  </si>
  <si>
    <t>Fuel Pressure</t>
  </si>
  <si>
    <t>Inj Pressure</t>
  </si>
  <si>
    <t>Flow Rate</t>
  </si>
  <si>
    <t>New Flow Rate</t>
  </si>
  <si>
    <t>Old Inj Flow CC</t>
  </si>
  <si>
    <t>WHP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</si>
</sst>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0:J17"/>
  <sheetViews>
    <sheetView tabSelected="1" workbookViewId="0">
      <selection activeCell="G11" sqref="G11"/>
    </sheetView>
  </sheetViews>
  <sheetFormatPr defaultRowHeight="15" x14ac:dyDescent="0.25"/>
  <cols>
    <col min="7" max="7" width="13.85546875" bestFit="1" customWidth="1"/>
    <col min="9" max="9" width="14.42578125" bestFit="1" customWidth="1"/>
    <col min="13" max="13" width="12.5703125" bestFit="1" customWidth="1"/>
  </cols>
  <sheetData>
    <row r="10" spans="6:10" x14ac:dyDescent="0.25">
      <c r="F10" t="s">
        <v>0</v>
      </c>
      <c r="G10">
        <v>324</v>
      </c>
      <c r="I10" t="s">
        <v>5</v>
      </c>
      <c r="J10">
        <v>96</v>
      </c>
    </row>
    <row r="11" spans="6:10" x14ac:dyDescent="0.25">
      <c r="F11" t="s">
        <v>10</v>
      </c>
      <c r="G11">
        <f>G10*0.87</f>
        <v>281.88</v>
      </c>
      <c r="I11" t="s">
        <v>6</v>
      </c>
      <c r="J11">
        <v>43.5</v>
      </c>
    </row>
    <row r="12" spans="6:10" x14ac:dyDescent="0.25">
      <c r="F12" t="s">
        <v>2</v>
      </c>
      <c r="G12">
        <v>0.55000000000000004</v>
      </c>
      <c r="I12" t="s">
        <v>9</v>
      </c>
      <c r="J12">
        <v>265</v>
      </c>
    </row>
    <row r="13" spans="6:10" x14ac:dyDescent="0.25">
      <c r="F13" t="s">
        <v>3</v>
      </c>
      <c r="G13">
        <v>4</v>
      </c>
    </row>
    <row r="14" spans="6:10" x14ac:dyDescent="0.25">
      <c r="F14" t="s">
        <v>1</v>
      </c>
      <c r="G14">
        <v>0.85</v>
      </c>
    </row>
    <row r="16" spans="6:10" x14ac:dyDescent="0.25">
      <c r="I16" t="s">
        <v>7</v>
      </c>
      <c r="J16">
        <f>J10/J11</f>
        <v>2.2068965517241379</v>
      </c>
    </row>
    <row r="17" spans="6:10" x14ac:dyDescent="0.25">
      <c r="F17" t="s">
        <v>4</v>
      </c>
      <c r="G17">
        <f>((G10*G12)/(G13*G14))*10.5</f>
        <v>550.32352941176475</v>
      </c>
      <c r="I17" t="s">
        <v>8</v>
      </c>
      <c r="J17">
        <f>SQRT(J16)*J12</f>
        <v>393.67411693534996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Vargas</dc:creator>
  <cp:lastModifiedBy>Daniel Vargas</cp:lastModifiedBy>
  <dcterms:created xsi:type="dcterms:W3CDTF">2014-05-29T15:26:29Z</dcterms:created>
  <dcterms:modified xsi:type="dcterms:W3CDTF">2014-05-29T15:43:04Z</dcterms:modified>
</cp:coreProperties>
</file>