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vargas/OneDrive/"/>
    </mc:Choice>
  </mc:AlternateContent>
  <xr:revisionPtr revIDLastSave="384" documentId="8_{6CA3D8D2-0AA6-6846-8979-952F75750FE1}" xr6:coauthVersionLast="43" xr6:coauthVersionMax="43" xr10:uidLastSave="{8831E816-0012-FE44-8B44-0B8EE1EE80E6}"/>
  <bookViews>
    <workbookView xWindow="0" yWindow="460" windowWidth="33600" windowHeight="19260" xr2:uid="{1A5934EF-575A-D540-9A05-2418C011D9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" i="1" l="1"/>
  <c r="W5" i="1" l="1"/>
  <c r="W9" i="1"/>
  <c r="W10" i="1"/>
  <c r="W14" i="1"/>
  <c r="W15" i="1"/>
  <c r="W19" i="1"/>
  <c r="W20" i="1"/>
  <c r="W4" i="1"/>
  <c r="K5" i="1"/>
  <c r="K9" i="1"/>
  <c r="K10" i="1"/>
  <c r="K14" i="1"/>
  <c r="K15" i="1"/>
  <c r="K19" i="1"/>
  <c r="K20" i="1"/>
  <c r="K4" i="1"/>
  <c r="E5" i="1"/>
  <c r="E9" i="1"/>
  <c r="E10" i="1"/>
  <c r="E14" i="1"/>
  <c r="E15" i="1"/>
  <c r="E19" i="1"/>
  <c r="E20" i="1"/>
  <c r="E4" i="1"/>
  <c r="Q5" i="1"/>
  <c r="Q9" i="1"/>
  <c r="Q10" i="1"/>
  <c r="Q14" i="1"/>
  <c r="Q15" i="1"/>
  <c r="Q19" i="1"/>
  <c r="Q20" i="1"/>
  <c r="Q4" i="1"/>
  <c r="AB4" i="1"/>
  <c r="AB5" i="1"/>
  <c r="AC5" i="1" s="1"/>
  <c r="AB6" i="1"/>
  <c r="AC6" i="1" s="1"/>
  <c r="AC3" i="1"/>
  <c r="AC4" i="1" l="1"/>
</calcChain>
</file>

<file path=xl/sharedStrings.xml><?xml version="1.0" encoding="utf-8"?>
<sst xmlns="http://schemas.openxmlformats.org/spreadsheetml/2006/main" count="101" uniqueCount="26">
  <si>
    <t>Cylinder 1</t>
  </si>
  <si>
    <t>Orig GAP</t>
  </si>
  <si>
    <t>Desired GAP</t>
  </si>
  <si>
    <t>Street Performance</t>
  </si>
  <si>
    <t>Moderate Turbo</t>
  </si>
  <si>
    <t>Drag/oval</t>
  </si>
  <si>
    <t>Turbo Nitros Race</t>
  </si>
  <si>
    <t>Bore</t>
  </si>
  <si>
    <t>TOP Ring GAP</t>
  </si>
  <si>
    <t>Bottom Ring gAP</t>
  </si>
  <si>
    <t>Cylinder 2</t>
  </si>
  <si>
    <t>Cylinder 3</t>
  </si>
  <si>
    <t>Cylinder 4</t>
  </si>
  <si>
    <t>RING Set 1</t>
  </si>
  <si>
    <t>Thick</t>
  </si>
  <si>
    <t>Difference</t>
  </si>
  <si>
    <t>RING Set 2</t>
  </si>
  <si>
    <t>RING Set 3</t>
  </si>
  <si>
    <t>RING Set 4</t>
  </si>
  <si>
    <t>Top</t>
  </si>
  <si>
    <t>Cylder Bore</t>
  </si>
  <si>
    <t>Cyl 1</t>
  </si>
  <si>
    <t>Cyl 2</t>
  </si>
  <si>
    <t>Cyl 3</t>
  </si>
  <si>
    <t>Cyl 4</t>
  </si>
  <si>
    <t>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</si>
</sst>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2" fillId="2" borderId="3" xfId="0" applyFont="1" applyFill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/>
    <xf numFmtId="0" fontId="2" fillId="2" borderId="3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2" borderId="5" xfId="0" applyFont="1" applyFill="1" applyBorder="1"/>
    <xf numFmtId="0" fontId="2" fillId="0" borderId="0" xfId="0" applyFont="1" applyFill="1" applyBorder="1"/>
    <xf numFmtId="0" fontId="2" fillId="3" borderId="4" xfId="0" applyFont="1" applyFill="1" applyBorder="1"/>
    <xf numFmtId="0" fontId="2" fillId="3" borderId="0" xfId="0" applyFont="1" applyFill="1" applyBorder="1"/>
    <xf numFmtId="164" fontId="2" fillId="0" borderId="0" xfId="0" applyNumberFormat="1" applyFont="1" applyBorder="1"/>
    <xf numFmtId="165" fontId="2" fillId="0" borderId="0" xfId="0" applyNumberFormat="1" applyFont="1" applyBorder="1"/>
    <xf numFmtId="164" fontId="2" fillId="2" borderId="5" xfId="0" applyNumberFormat="1" applyFont="1" applyFill="1" applyBorder="1"/>
    <xf numFmtId="165" fontId="2" fillId="0" borderId="0" xfId="0" applyNumberFormat="1" applyFont="1" applyFill="1" applyBorder="1"/>
    <xf numFmtId="165" fontId="2" fillId="3" borderId="0" xfId="0" applyNumberFormat="1" applyFont="1" applyFill="1" applyBorder="1"/>
    <xf numFmtId="164" fontId="2" fillId="2" borderId="8" xfId="0" applyNumberFormat="1" applyFont="1" applyFill="1" applyBorder="1"/>
    <xf numFmtId="0" fontId="2" fillId="3" borderId="6" xfId="0" applyFont="1" applyFill="1" applyBorder="1"/>
    <xf numFmtId="165" fontId="2" fillId="3" borderId="7" xfId="0" applyNumberFormat="1" applyFont="1" applyFill="1" applyBorder="1"/>
    <xf numFmtId="164" fontId="2" fillId="0" borderId="0" xfId="0" applyNumberFormat="1" applyFont="1" applyFill="1" applyBorder="1"/>
    <xf numFmtId="164" fontId="2" fillId="2" borderId="3" xfId="0" applyNumberFormat="1" applyFont="1" applyFill="1" applyBorder="1"/>
    <xf numFmtId="0" fontId="2" fillId="3" borderId="7" xfId="0" applyFont="1" applyFill="1" applyBorder="1"/>
    <xf numFmtId="0" fontId="2" fillId="2" borderId="0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4" xfId="0" applyFont="1" applyFill="1" applyBorder="1"/>
    <xf numFmtId="0" fontId="2" fillId="5" borderId="0" xfId="0" applyFont="1" applyFill="1" applyBorder="1"/>
    <xf numFmtId="165" fontId="2" fillId="5" borderId="0" xfId="0" applyNumberFormat="1" applyFont="1" applyFill="1" applyBorder="1"/>
    <xf numFmtId="0" fontId="2" fillId="5" borderId="6" xfId="0" applyFont="1" applyFill="1" applyBorder="1"/>
    <xf numFmtId="0" fontId="2" fillId="5" borderId="7" xfId="0" applyFont="1" applyFill="1" applyBorder="1"/>
    <xf numFmtId="165" fontId="2" fillId="5" borderId="7" xfId="0" applyNumberFormat="1" applyFont="1" applyFill="1" applyBorder="1"/>
    <xf numFmtId="0" fontId="2" fillId="4" borderId="4" xfId="0" applyFont="1" applyFill="1" applyBorder="1"/>
    <xf numFmtId="0" fontId="2" fillId="4" borderId="0" xfId="0" applyFont="1" applyFill="1" applyBorder="1"/>
    <xf numFmtId="165" fontId="2" fillId="4" borderId="0" xfId="0" applyNumberFormat="1" applyFont="1" applyFill="1" applyBorder="1"/>
    <xf numFmtId="0" fontId="2" fillId="4" borderId="6" xfId="0" applyFont="1" applyFill="1" applyBorder="1"/>
    <xf numFmtId="165" fontId="2" fillId="4" borderId="7" xfId="0" applyNumberFormat="1" applyFont="1" applyFill="1" applyBorder="1"/>
    <xf numFmtId="0" fontId="2" fillId="4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31803-23D6-E34E-9597-6FDCC7E994A7}">
  <dimension ref="A1:AC123"/>
  <sheetViews>
    <sheetView tabSelected="1" workbookViewId="0">
      <selection activeCell="D9" sqref="D9"/>
    </sheetView>
  </sheetViews>
  <sheetFormatPr baseColWidth="10" defaultRowHeight="16" x14ac:dyDescent="0.2"/>
  <cols>
    <col min="1" max="1" width="11.5" style="11" bestFit="1" customWidth="1"/>
    <col min="2" max="2" width="6.6640625" style="11" bestFit="1" customWidth="1"/>
    <col min="3" max="3" width="8.6640625" style="11" bestFit="1" customWidth="1"/>
    <col min="4" max="4" width="11.33203125" style="11" bestFit="1" customWidth="1"/>
    <col min="5" max="5" width="9.6640625" style="25" bestFit="1" customWidth="1"/>
    <col min="6" max="6" width="3.83203125" style="6" customWidth="1"/>
    <col min="7" max="7" width="11.5" style="11" bestFit="1" customWidth="1"/>
    <col min="8" max="8" width="6.6640625" style="11" bestFit="1" customWidth="1"/>
    <col min="9" max="9" width="8.6640625" style="11" bestFit="1" customWidth="1"/>
    <col min="10" max="10" width="11.33203125" style="11" bestFit="1" customWidth="1"/>
    <col min="11" max="11" width="9.6640625" style="25" bestFit="1" customWidth="1"/>
    <col min="12" max="12" width="4.1640625" style="6" customWidth="1"/>
    <col min="13" max="13" width="11.5" style="11" bestFit="1" customWidth="1"/>
    <col min="14" max="14" width="6.6640625" style="11" bestFit="1" customWidth="1"/>
    <col min="15" max="15" width="8.6640625" style="11" bestFit="1" customWidth="1"/>
    <col min="16" max="16" width="11.33203125" style="11" bestFit="1" customWidth="1"/>
    <col min="17" max="17" width="9.6640625" style="25" bestFit="1" customWidth="1"/>
    <col min="18" max="18" width="4.83203125" style="6" customWidth="1"/>
    <col min="19" max="19" width="11.5" style="11" bestFit="1" customWidth="1"/>
    <col min="20" max="20" width="6.6640625" style="11" bestFit="1" customWidth="1"/>
    <col min="21" max="21" width="8.6640625" style="11" bestFit="1" customWidth="1"/>
    <col min="22" max="22" width="11.33203125" style="11" bestFit="1" customWidth="1"/>
    <col min="23" max="23" width="9.6640625" style="25" bestFit="1" customWidth="1"/>
    <col min="24" max="24" width="4.1640625" style="6" customWidth="1"/>
    <col min="25" max="25" width="17.33203125" style="6" bestFit="1" customWidth="1"/>
    <col min="26" max="26" width="6.6640625" style="6" bestFit="1" customWidth="1"/>
    <col min="27" max="27" width="7.6640625" style="6" bestFit="1" customWidth="1"/>
    <col min="28" max="28" width="12.6640625" style="6" bestFit="1" customWidth="1"/>
    <col min="29" max="29" width="15.1640625" style="6" bestFit="1" customWidth="1"/>
    <col min="30" max="16384" width="10.83203125" style="6"/>
  </cols>
  <sheetData>
    <row r="1" spans="1:29" s="3" customFormat="1" ht="22" thickBot="1" x14ac:dyDescent="0.3">
      <c r="A1" s="1" t="s">
        <v>13</v>
      </c>
      <c r="B1" s="1"/>
      <c r="C1" s="1"/>
      <c r="D1" s="1"/>
      <c r="E1" s="2"/>
      <c r="G1" s="1" t="s">
        <v>16</v>
      </c>
      <c r="H1" s="1"/>
      <c r="I1" s="1"/>
      <c r="J1" s="1"/>
      <c r="K1" s="2"/>
      <c r="M1" s="1" t="s">
        <v>17</v>
      </c>
      <c r="N1" s="1"/>
      <c r="O1" s="1"/>
      <c r="P1" s="1"/>
      <c r="Q1" s="2"/>
      <c r="S1" s="1" t="s">
        <v>18</v>
      </c>
      <c r="T1" s="1"/>
      <c r="U1" s="1"/>
      <c r="V1" s="1"/>
      <c r="W1" s="2"/>
    </row>
    <row r="2" spans="1:29" x14ac:dyDescent="0.2">
      <c r="A2" s="26" t="s">
        <v>0</v>
      </c>
      <c r="B2" s="27"/>
      <c r="C2" s="27"/>
      <c r="D2" s="27"/>
      <c r="E2" s="4" t="s">
        <v>15</v>
      </c>
      <c r="F2" s="5"/>
      <c r="G2" s="26" t="s">
        <v>0</v>
      </c>
      <c r="H2" s="27"/>
      <c r="I2" s="27"/>
      <c r="J2" s="27"/>
      <c r="K2" s="4" t="s">
        <v>15</v>
      </c>
      <c r="M2" s="8" t="s">
        <v>0</v>
      </c>
      <c r="N2" s="9"/>
      <c r="O2" s="9"/>
      <c r="P2" s="9"/>
      <c r="Q2" s="7" t="s">
        <v>15</v>
      </c>
      <c r="S2" s="28" t="s">
        <v>0</v>
      </c>
      <c r="T2" s="29"/>
      <c r="U2" s="29"/>
      <c r="V2" s="29"/>
      <c r="W2" s="4" t="s">
        <v>15</v>
      </c>
      <c r="AA2" s="6" t="s">
        <v>7</v>
      </c>
      <c r="AB2" s="6" t="s">
        <v>8</v>
      </c>
      <c r="AC2" s="6" t="s">
        <v>9</v>
      </c>
    </row>
    <row r="3" spans="1:29" x14ac:dyDescent="0.2">
      <c r="A3" s="36"/>
      <c r="B3" s="37" t="s">
        <v>14</v>
      </c>
      <c r="C3" s="37" t="s">
        <v>1</v>
      </c>
      <c r="D3" s="37" t="s">
        <v>2</v>
      </c>
      <c r="E3" s="10"/>
      <c r="G3" s="36"/>
      <c r="H3" s="37"/>
      <c r="I3" s="37" t="s">
        <v>1</v>
      </c>
      <c r="J3" s="37" t="s">
        <v>2</v>
      </c>
      <c r="K3" s="10"/>
      <c r="M3" s="12"/>
      <c r="N3" s="13"/>
      <c r="O3" s="13" t="s">
        <v>1</v>
      </c>
      <c r="P3" s="13" t="s">
        <v>2</v>
      </c>
      <c r="Q3" s="10"/>
      <c r="S3" s="30"/>
      <c r="T3" s="31"/>
      <c r="U3" s="31" t="s">
        <v>1</v>
      </c>
      <c r="V3" s="31" t="s">
        <v>2</v>
      </c>
      <c r="W3" s="10"/>
      <c r="Y3" s="6" t="s">
        <v>3</v>
      </c>
      <c r="Z3" s="14">
        <v>4.4999999999999997E-3</v>
      </c>
      <c r="AA3" s="15">
        <v>3.306</v>
      </c>
      <c r="AB3" s="15">
        <f>Z3*AA3</f>
        <v>1.4877E-2</v>
      </c>
      <c r="AC3" s="15">
        <f>AB3*1.25</f>
        <v>1.8596249999999998E-2</v>
      </c>
    </row>
    <row r="4" spans="1:29" x14ac:dyDescent="0.2">
      <c r="A4" s="36" t="s">
        <v>19</v>
      </c>
      <c r="B4" s="38">
        <v>0.98</v>
      </c>
      <c r="C4" s="38">
        <v>0.01</v>
      </c>
      <c r="D4" s="38">
        <v>1.7000000000000001E-2</v>
      </c>
      <c r="E4" s="16">
        <f>D4-C4</f>
        <v>7.000000000000001E-3</v>
      </c>
      <c r="G4" s="36" t="s">
        <v>19</v>
      </c>
      <c r="H4" s="38">
        <v>0.99</v>
      </c>
      <c r="I4" s="38">
        <v>0.01</v>
      </c>
      <c r="J4" s="38">
        <v>1.7000000000000001E-2</v>
      </c>
      <c r="K4" s="16">
        <f>J4-I4</f>
        <v>7.000000000000001E-3</v>
      </c>
      <c r="M4" s="12" t="s">
        <v>19</v>
      </c>
      <c r="N4" s="18">
        <v>0.98</v>
      </c>
      <c r="O4" s="18">
        <v>1.0999999999999999E-2</v>
      </c>
      <c r="P4" s="18">
        <v>1.7000000000000001E-2</v>
      </c>
      <c r="Q4" s="16">
        <f>P4-O4</f>
        <v>6.0000000000000019E-3</v>
      </c>
      <c r="S4" s="30" t="s">
        <v>19</v>
      </c>
      <c r="T4" s="32">
        <v>0.99</v>
      </c>
      <c r="U4" s="32">
        <v>0.01</v>
      </c>
      <c r="V4" s="32">
        <v>1.7000000000000001E-2</v>
      </c>
      <c r="W4" s="16">
        <f>V4-U4</f>
        <v>7.000000000000001E-3</v>
      </c>
      <c r="Y4" s="6" t="s">
        <v>4</v>
      </c>
      <c r="Z4" s="14">
        <v>5.0000000000000001E-3</v>
      </c>
      <c r="AA4" s="15">
        <v>3.306</v>
      </c>
      <c r="AB4" s="15">
        <f t="shared" ref="AB4:AB6" si="0">Z4*AA4</f>
        <v>1.653E-2</v>
      </c>
      <c r="AC4" s="15">
        <f t="shared" ref="AC4:AC6" si="1">AB4*1.25</f>
        <v>2.06625E-2</v>
      </c>
    </row>
    <row r="5" spans="1:29" ht="17" thickBot="1" x14ac:dyDescent="0.25">
      <c r="A5" s="39" t="s">
        <v>25</v>
      </c>
      <c r="B5" s="40">
        <v>1.18</v>
      </c>
      <c r="C5" s="40">
        <v>2.1999999999999999E-2</v>
      </c>
      <c r="D5" s="40">
        <v>2.1000000000000001E-2</v>
      </c>
      <c r="E5" s="19">
        <f t="shared" ref="E5:E20" si="2">D5-C5</f>
        <v>-9.9999999999999742E-4</v>
      </c>
      <c r="G5" s="39" t="s">
        <v>25</v>
      </c>
      <c r="H5" s="40">
        <v>1.19</v>
      </c>
      <c r="I5" s="40">
        <v>2.1999999999999999E-2</v>
      </c>
      <c r="J5" s="40">
        <v>2.1000000000000001E-2</v>
      </c>
      <c r="K5" s="19">
        <f t="shared" ref="K5:K20" si="3">J5-I5</f>
        <v>-9.9999999999999742E-4</v>
      </c>
      <c r="M5" s="20" t="s">
        <v>25</v>
      </c>
      <c r="N5" s="21">
        <v>1.19</v>
      </c>
      <c r="O5" s="21">
        <v>0.02</v>
      </c>
      <c r="P5" s="21">
        <v>2.1000000000000001E-2</v>
      </c>
      <c r="Q5" s="19">
        <f t="shared" ref="Q5:Q20" si="4">P5-O5</f>
        <v>1.0000000000000009E-3</v>
      </c>
      <c r="S5" s="33" t="s">
        <v>25</v>
      </c>
      <c r="T5" s="35">
        <v>1.19</v>
      </c>
      <c r="U5" s="35">
        <v>0.02</v>
      </c>
      <c r="V5" s="35">
        <v>2.1000000000000001E-2</v>
      </c>
      <c r="W5" s="19">
        <f t="shared" ref="W5:W20" si="5">V5-U5</f>
        <v>1.0000000000000009E-3</v>
      </c>
      <c r="Y5" s="6" t="s">
        <v>5</v>
      </c>
      <c r="Z5" s="14">
        <v>5.4999999999999997E-3</v>
      </c>
      <c r="AA5" s="15">
        <v>3.306</v>
      </c>
      <c r="AB5" s="15">
        <f t="shared" si="0"/>
        <v>1.8182999999999998E-2</v>
      </c>
      <c r="AC5" s="15">
        <f t="shared" si="1"/>
        <v>2.2728749999999999E-2</v>
      </c>
    </row>
    <row r="6" spans="1:29" s="11" customFormat="1" ht="17" thickBot="1" x14ac:dyDescent="0.25">
      <c r="E6" s="22"/>
      <c r="K6" s="22"/>
      <c r="Q6" s="22"/>
      <c r="W6" s="22"/>
      <c r="Y6" s="11" t="s">
        <v>6</v>
      </c>
      <c r="Z6" s="22">
        <v>6.4999999999999997E-3</v>
      </c>
      <c r="AA6" s="15">
        <v>3.306</v>
      </c>
      <c r="AB6" s="17">
        <f t="shared" si="0"/>
        <v>2.1488999999999998E-2</v>
      </c>
      <c r="AC6" s="17">
        <f t="shared" si="1"/>
        <v>2.6861249999999996E-2</v>
      </c>
    </row>
    <row r="7" spans="1:29" x14ac:dyDescent="0.2">
      <c r="A7" s="8" t="s">
        <v>10</v>
      </c>
      <c r="B7" s="9"/>
      <c r="C7" s="9"/>
      <c r="D7" s="9"/>
      <c r="E7" s="23"/>
      <c r="F7" s="5"/>
      <c r="G7" s="28" t="s">
        <v>10</v>
      </c>
      <c r="H7" s="29"/>
      <c r="I7" s="29"/>
      <c r="J7" s="29"/>
      <c r="K7" s="23"/>
      <c r="M7" s="28" t="s">
        <v>10</v>
      </c>
      <c r="N7" s="29"/>
      <c r="O7" s="29"/>
      <c r="P7" s="29"/>
      <c r="Q7" s="23"/>
      <c r="S7" s="28" t="s">
        <v>10</v>
      </c>
      <c r="T7" s="29"/>
      <c r="U7" s="29"/>
      <c r="V7" s="29"/>
      <c r="W7" s="23"/>
    </row>
    <row r="8" spans="1:29" x14ac:dyDescent="0.2">
      <c r="A8" s="12"/>
      <c r="B8" s="13"/>
      <c r="C8" s="13" t="s">
        <v>1</v>
      </c>
      <c r="D8" s="13" t="s">
        <v>2</v>
      </c>
      <c r="E8" s="16"/>
      <c r="G8" s="30"/>
      <c r="H8" s="31"/>
      <c r="I8" s="31" t="s">
        <v>1</v>
      </c>
      <c r="J8" s="31" t="s">
        <v>2</v>
      </c>
      <c r="K8" s="16"/>
      <c r="M8" s="30"/>
      <c r="N8" s="31"/>
      <c r="O8" s="31" t="s">
        <v>1</v>
      </c>
      <c r="P8" s="31" t="s">
        <v>2</v>
      </c>
      <c r="Q8" s="16"/>
      <c r="S8" s="30"/>
      <c r="T8" s="31"/>
      <c r="U8" s="31" t="s">
        <v>1</v>
      </c>
      <c r="V8" s="31" t="s">
        <v>2</v>
      </c>
      <c r="W8" s="16"/>
      <c r="AB8" s="6">
        <v>1.6E-2</v>
      </c>
      <c r="AC8" s="6">
        <v>1.7999999999999999E-2</v>
      </c>
    </row>
    <row r="9" spans="1:29" x14ac:dyDescent="0.2">
      <c r="A9" s="12" t="s">
        <v>19</v>
      </c>
      <c r="B9" s="18"/>
      <c r="C9" s="18">
        <v>0.01</v>
      </c>
      <c r="D9" s="18">
        <v>1.7000000000000001E-2</v>
      </c>
      <c r="E9" s="16">
        <f t="shared" si="2"/>
        <v>7.000000000000001E-3</v>
      </c>
      <c r="G9" s="30" t="s">
        <v>19</v>
      </c>
      <c r="H9" s="31"/>
      <c r="I9" s="32">
        <v>0.01</v>
      </c>
      <c r="J9" s="32">
        <v>1.7000000000000001E-2</v>
      </c>
      <c r="K9" s="16">
        <f t="shared" si="3"/>
        <v>7.000000000000001E-3</v>
      </c>
      <c r="M9" s="30" t="s">
        <v>19</v>
      </c>
      <c r="N9" s="31"/>
      <c r="O9" s="32">
        <v>0.01</v>
      </c>
      <c r="P9" s="32">
        <v>1.7000000000000001E-2</v>
      </c>
      <c r="Q9" s="16">
        <f t="shared" si="4"/>
        <v>7.000000000000001E-3</v>
      </c>
      <c r="S9" s="30" t="s">
        <v>19</v>
      </c>
      <c r="T9" s="31"/>
      <c r="U9" s="32">
        <v>0.01</v>
      </c>
      <c r="V9" s="32">
        <v>1.7000000000000001E-2</v>
      </c>
      <c r="W9" s="16">
        <f t="shared" si="5"/>
        <v>7.000000000000001E-3</v>
      </c>
    </row>
    <row r="10" spans="1:29" ht="17" thickBot="1" x14ac:dyDescent="0.25">
      <c r="A10" s="20" t="s">
        <v>25</v>
      </c>
      <c r="B10" s="21"/>
      <c r="C10" s="21">
        <v>0.02</v>
      </c>
      <c r="D10" s="21">
        <v>2.1000000000000001E-2</v>
      </c>
      <c r="E10" s="19">
        <f t="shared" si="2"/>
        <v>1.0000000000000009E-3</v>
      </c>
      <c r="G10" s="33" t="s">
        <v>25</v>
      </c>
      <c r="H10" s="34"/>
      <c r="I10" s="35">
        <v>2.1000000000000001E-2</v>
      </c>
      <c r="J10" s="35">
        <v>2.1000000000000001E-2</v>
      </c>
      <c r="K10" s="19">
        <f t="shared" si="3"/>
        <v>0</v>
      </c>
      <c r="M10" s="33" t="s">
        <v>25</v>
      </c>
      <c r="N10" s="34"/>
      <c r="O10" s="35">
        <v>1.9E-2</v>
      </c>
      <c r="P10" s="35">
        <v>2.1000000000000001E-2</v>
      </c>
      <c r="Q10" s="19">
        <f t="shared" si="4"/>
        <v>2.0000000000000018E-3</v>
      </c>
      <c r="S10" s="33" t="s">
        <v>25</v>
      </c>
      <c r="T10" s="34"/>
      <c r="U10" s="35">
        <v>0.02</v>
      </c>
      <c r="V10" s="35">
        <v>2.1000000000000001E-2</v>
      </c>
      <c r="W10" s="19">
        <f t="shared" si="5"/>
        <v>1.0000000000000009E-3</v>
      </c>
    </row>
    <row r="11" spans="1:29" s="11" customFormat="1" ht="17" thickBot="1" x14ac:dyDescent="0.25">
      <c r="B11" s="17"/>
      <c r="C11" s="17"/>
      <c r="E11" s="22"/>
      <c r="K11" s="22"/>
      <c r="Q11" s="22"/>
      <c r="W11" s="22"/>
    </row>
    <row r="12" spans="1:29" x14ac:dyDescent="0.2">
      <c r="A12" s="26" t="s">
        <v>11</v>
      </c>
      <c r="B12" s="27"/>
      <c r="C12" s="27"/>
      <c r="D12" s="27"/>
      <c r="E12" s="23"/>
      <c r="F12" s="5"/>
      <c r="G12" s="26" t="s">
        <v>11</v>
      </c>
      <c r="H12" s="27"/>
      <c r="I12" s="27"/>
      <c r="J12" s="27"/>
      <c r="K12" s="23"/>
      <c r="M12" s="26" t="s">
        <v>11</v>
      </c>
      <c r="N12" s="27"/>
      <c r="O12" s="27"/>
      <c r="P12" s="27"/>
      <c r="Q12" s="23"/>
      <c r="S12" s="8" t="s">
        <v>11</v>
      </c>
      <c r="T12" s="9"/>
      <c r="U12" s="9"/>
      <c r="V12" s="9"/>
      <c r="W12" s="23"/>
      <c r="Y12" s="6" t="s">
        <v>20</v>
      </c>
    </row>
    <row r="13" spans="1:29" x14ac:dyDescent="0.2">
      <c r="A13" s="36"/>
      <c r="B13" s="37"/>
      <c r="C13" s="37" t="s">
        <v>1</v>
      </c>
      <c r="D13" s="37" t="s">
        <v>2</v>
      </c>
      <c r="E13" s="16"/>
      <c r="G13" s="36"/>
      <c r="H13" s="37"/>
      <c r="I13" s="37" t="s">
        <v>1</v>
      </c>
      <c r="J13" s="37" t="s">
        <v>2</v>
      </c>
      <c r="K13" s="16"/>
      <c r="M13" s="36"/>
      <c r="N13" s="37"/>
      <c r="O13" s="37" t="s">
        <v>1</v>
      </c>
      <c r="P13" s="37" t="s">
        <v>2</v>
      </c>
      <c r="Q13" s="16"/>
      <c r="S13" s="12"/>
      <c r="T13" s="13"/>
      <c r="U13" s="13" t="s">
        <v>1</v>
      </c>
      <c r="V13" s="13" t="s">
        <v>2</v>
      </c>
      <c r="W13" s="16"/>
      <c r="Y13" s="6" t="s">
        <v>21</v>
      </c>
      <c r="Z13" s="15">
        <v>3.306</v>
      </c>
    </row>
    <row r="14" spans="1:29" x14ac:dyDescent="0.2">
      <c r="A14" s="36" t="s">
        <v>19</v>
      </c>
      <c r="B14" s="38"/>
      <c r="C14" s="38">
        <v>1.4E-2</v>
      </c>
      <c r="D14" s="38">
        <v>1.7000000000000001E-2</v>
      </c>
      <c r="E14" s="16">
        <f t="shared" si="2"/>
        <v>3.0000000000000009E-3</v>
      </c>
      <c r="G14" s="36" t="s">
        <v>19</v>
      </c>
      <c r="H14" s="37"/>
      <c r="I14" s="38">
        <v>1.2E-2</v>
      </c>
      <c r="J14" s="38">
        <v>1.7000000000000001E-2</v>
      </c>
      <c r="K14" s="16">
        <f t="shared" si="3"/>
        <v>5.000000000000001E-3</v>
      </c>
      <c r="M14" s="36" t="s">
        <v>19</v>
      </c>
      <c r="N14" s="37"/>
      <c r="O14" s="38">
        <v>1.4E-2</v>
      </c>
      <c r="P14" s="38">
        <v>1.7000000000000001E-2</v>
      </c>
      <c r="Q14" s="16">
        <f t="shared" si="4"/>
        <v>3.0000000000000009E-3</v>
      </c>
      <c r="S14" s="12" t="s">
        <v>19</v>
      </c>
      <c r="T14" s="13"/>
      <c r="U14" s="18">
        <v>1.2E-2</v>
      </c>
      <c r="V14" s="18">
        <v>1.7000000000000001E-2</v>
      </c>
      <c r="W14" s="16">
        <f t="shared" si="5"/>
        <v>5.000000000000001E-3</v>
      </c>
      <c r="Y14" s="6" t="s">
        <v>22</v>
      </c>
      <c r="Z14" s="15">
        <v>3.306</v>
      </c>
    </row>
    <row r="15" spans="1:29" ht="17" thickBot="1" x14ac:dyDescent="0.25">
      <c r="A15" s="39" t="s">
        <v>25</v>
      </c>
      <c r="B15" s="40"/>
      <c r="C15" s="40">
        <v>2.4E-2</v>
      </c>
      <c r="D15" s="40">
        <v>2.1000000000000001E-2</v>
      </c>
      <c r="E15" s="19">
        <f t="shared" si="2"/>
        <v>-2.9999999999999992E-3</v>
      </c>
      <c r="G15" s="39" t="s">
        <v>25</v>
      </c>
      <c r="H15" s="41"/>
      <c r="I15" s="40">
        <v>2.4E-2</v>
      </c>
      <c r="J15" s="40">
        <v>2.1000000000000001E-2</v>
      </c>
      <c r="K15" s="19">
        <f t="shared" si="3"/>
        <v>-2.9999999999999992E-3</v>
      </c>
      <c r="M15" s="39" t="s">
        <v>25</v>
      </c>
      <c r="N15" s="41"/>
      <c r="O15" s="40">
        <v>2.4E-2</v>
      </c>
      <c r="P15" s="40">
        <v>2.1000000000000001E-2</v>
      </c>
      <c r="Q15" s="19">
        <f t="shared" si="4"/>
        <v>-2.9999999999999992E-3</v>
      </c>
      <c r="S15" s="20" t="s">
        <v>25</v>
      </c>
      <c r="T15" s="24"/>
      <c r="U15" s="21">
        <v>2.4E-2</v>
      </c>
      <c r="V15" s="21">
        <v>2.1000000000000001E-2</v>
      </c>
      <c r="W15" s="19">
        <f t="shared" si="5"/>
        <v>-2.9999999999999992E-3</v>
      </c>
      <c r="Y15" s="11" t="s">
        <v>23</v>
      </c>
      <c r="Z15" s="15">
        <v>3.3079999999999998</v>
      </c>
    </row>
    <row r="16" spans="1:29" s="11" customFormat="1" ht="17" thickBot="1" x14ac:dyDescent="0.25">
      <c r="E16" s="22"/>
      <c r="K16" s="22"/>
      <c r="P16" s="17"/>
      <c r="Q16" s="22"/>
      <c r="W16" s="22"/>
      <c r="Y16" s="11" t="s">
        <v>24</v>
      </c>
      <c r="Z16" s="15">
        <v>3.3050000000000002</v>
      </c>
    </row>
    <row r="17" spans="1:23" x14ac:dyDescent="0.2">
      <c r="A17" s="28" t="s">
        <v>12</v>
      </c>
      <c r="B17" s="29"/>
      <c r="C17" s="29"/>
      <c r="D17" s="29"/>
      <c r="E17" s="23"/>
      <c r="F17" s="5"/>
      <c r="G17" s="8" t="s">
        <v>12</v>
      </c>
      <c r="H17" s="9"/>
      <c r="I17" s="9"/>
      <c r="J17" s="9"/>
      <c r="K17" s="23"/>
      <c r="M17" s="28" t="s">
        <v>12</v>
      </c>
      <c r="N17" s="29"/>
      <c r="O17" s="29"/>
      <c r="P17" s="29"/>
      <c r="Q17" s="23"/>
      <c r="S17" s="28" t="s">
        <v>12</v>
      </c>
      <c r="T17" s="29"/>
      <c r="U17" s="29"/>
      <c r="V17" s="29"/>
      <c r="W17" s="23"/>
    </row>
    <row r="18" spans="1:23" x14ac:dyDescent="0.2">
      <c r="A18" s="30"/>
      <c r="B18" s="31"/>
      <c r="C18" s="31" t="s">
        <v>1</v>
      </c>
      <c r="D18" s="31" t="s">
        <v>2</v>
      </c>
      <c r="E18" s="16"/>
      <c r="G18" s="12"/>
      <c r="H18" s="13"/>
      <c r="I18" s="13" t="s">
        <v>1</v>
      </c>
      <c r="J18" s="13" t="s">
        <v>2</v>
      </c>
      <c r="K18" s="16"/>
      <c r="M18" s="30"/>
      <c r="N18" s="31"/>
      <c r="O18" s="31" t="s">
        <v>1</v>
      </c>
      <c r="P18" s="31" t="s">
        <v>2</v>
      </c>
      <c r="Q18" s="16"/>
      <c r="S18" s="30"/>
      <c r="T18" s="31"/>
      <c r="U18" s="31" t="s">
        <v>1</v>
      </c>
      <c r="V18" s="31" t="s">
        <v>2</v>
      </c>
      <c r="W18" s="16"/>
    </row>
    <row r="19" spans="1:23" x14ac:dyDescent="0.2">
      <c r="A19" s="30" t="s">
        <v>19</v>
      </c>
      <c r="B19" s="32"/>
      <c r="C19" s="32">
        <v>8.9999999999999993E-3</v>
      </c>
      <c r="D19" s="32">
        <v>1.7000000000000001E-2</v>
      </c>
      <c r="E19" s="16">
        <f t="shared" si="2"/>
        <v>8.0000000000000019E-3</v>
      </c>
      <c r="G19" s="12" t="s">
        <v>19</v>
      </c>
      <c r="H19" s="13"/>
      <c r="I19" s="18">
        <v>8.0000000000000002E-3</v>
      </c>
      <c r="J19" s="18">
        <v>1.7000000000000001E-2</v>
      </c>
      <c r="K19" s="16">
        <f t="shared" si="3"/>
        <v>9.0000000000000011E-3</v>
      </c>
      <c r="M19" s="30" t="s">
        <v>19</v>
      </c>
      <c r="N19" s="31"/>
      <c r="O19" s="32">
        <v>8.9999999999999993E-3</v>
      </c>
      <c r="P19" s="32">
        <v>1.7000000000000001E-2</v>
      </c>
      <c r="Q19" s="16">
        <f t="shared" si="4"/>
        <v>8.0000000000000019E-3</v>
      </c>
      <c r="S19" s="30" t="s">
        <v>19</v>
      </c>
      <c r="T19" s="31"/>
      <c r="U19" s="32">
        <v>0.01</v>
      </c>
      <c r="V19" s="32">
        <v>1.7000000000000001E-2</v>
      </c>
      <c r="W19" s="16">
        <f t="shared" si="5"/>
        <v>7.000000000000001E-3</v>
      </c>
    </row>
    <row r="20" spans="1:23" ht="17" thickBot="1" x14ac:dyDescent="0.25">
      <c r="A20" s="33" t="s">
        <v>25</v>
      </c>
      <c r="B20" s="35"/>
      <c r="C20" s="35">
        <v>0.02</v>
      </c>
      <c r="D20" s="35">
        <v>2.1000000000000001E-2</v>
      </c>
      <c r="E20" s="19">
        <f t="shared" si="2"/>
        <v>1.0000000000000009E-3</v>
      </c>
      <c r="G20" s="20" t="s">
        <v>25</v>
      </c>
      <c r="H20" s="24"/>
      <c r="I20" s="21">
        <v>1.9E-2</v>
      </c>
      <c r="J20" s="21">
        <v>2.1000000000000001E-2</v>
      </c>
      <c r="K20" s="19">
        <f t="shared" si="3"/>
        <v>2.0000000000000018E-3</v>
      </c>
      <c r="M20" s="33" t="s">
        <v>25</v>
      </c>
      <c r="N20" s="34"/>
      <c r="O20" s="35">
        <v>0.02</v>
      </c>
      <c r="P20" s="35">
        <v>2.1000000000000001E-2</v>
      </c>
      <c r="Q20" s="19">
        <f t="shared" si="4"/>
        <v>1.0000000000000009E-3</v>
      </c>
      <c r="S20" s="33" t="s">
        <v>25</v>
      </c>
      <c r="T20" s="34"/>
      <c r="U20" s="35">
        <v>1.9E-2</v>
      </c>
      <c r="V20" s="35">
        <v>2.1000000000000001E-2</v>
      </c>
      <c r="W20" s="19">
        <f t="shared" si="5"/>
        <v>2.0000000000000018E-3</v>
      </c>
    </row>
    <row r="21" spans="1:23" s="11" customFormat="1" x14ac:dyDescent="0.2"/>
    <row r="22" spans="1:23" s="11" customFormat="1" x14ac:dyDescent="0.2"/>
    <row r="23" spans="1:23" s="11" customFormat="1" x14ac:dyDescent="0.2"/>
    <row r="24" spans="1:23" s="11" customFormat="1" x14ac:dyDescent="0.2"/>
    <row r="25" spans="1:23" s="11" customFormat="1" x14ac:dyDescent="0.2"/>
    <row r="26" spans="1:23" s="11" customFormat="1" x14ac:dyDescent="0.2"/>
    <row r="27" spans="1:23" s="11" customFormat="1" x14ac:dyDescent="0.2"/>
    <row r="28" spans="1:23" s="11" customFormat="1" x14ac:dyDescent="0.2"/>
    <row r="29" spans="1:23" s="11" customFormat="1" x14ac:dyDescent="0.2"/>
    <row r="30" spans="1:23" s="11" customFormat="1" x14ac:dyDescent="0.2"/>
    <row r="31" spans="1:23" s="11" customFormat="1" x14ac:dyDescent="0.2"/>
    <row r="32" spans="1:23" s="11" customFormat="1" x14ac:dyDescent="0.2"/>
    <row r="33" s="11" customFormat="1" x14ac:dyDescent="0.2"/>
    <row r="34" s="11" customFormat="1" x14ac:dyDescent="0.2"/>
    <row r="35" s="11" customFormat="1" x14ac:dyDescent="0.2"/>
    <row r="36" s="11" customFormat="1" x14ac:dyDescent="0.2"/>
    <row r="37" s="11" customFormat="1" x14ac:dyDescent="0.2"/>
    <row r="38" s="11" customFormat="1" x14ac:dyDescent="0.2"/>
    <row r="39" s="11" customFormat="1" x14ac:dyDescent="0.2"/>
    <row r="40" s="11" customFormat="1" x14ac:dyDescent="0.2"/>
    <row r="41" s="11" customFormat="1" x14ac:dyDescent="0.2"/>
    <row r="42" s="11" customFormat="1" x14ac:dyDescent="0.2"/>
    <row r="43" s="11" customFormat="1" x14ac:dyDescent="0.2"/>
    <row r="44" s="11" customFormat="1" x14ac:dyDescent="0.2"/>
    <row r="45" s="11" customFormat="1" x14ac:dyDescent="0.2"/>
    <row r="46" s="11" customFormat="1" x14ac:dyDescent="0.2"/>
    <row r="47" s="11" customFormat="1" x14ac:dyDescent="0.2"/>
    <row r="48" s="11" customFormat="1" x14ac:dyDescent="0.2"/>
    <row r="49" s="11" customFormat="1" x14ac:dyDescent="0.2"/>
    <row r="50" s="11" customFormat="1" x14ac:dyDescent="0.2"/>
    <row r="51" s="11" customFormat="1" x14ac:dyDescent="0.2"/>
    <row r="52" s="11" customFormat="1" x14ac:dyDescent="0.2"/>
    <row r="53" s="11" customFormat="1" x14ac:dyDescent="0.2"/>
    <row r="54" s="11" customFormat="1" x14ac:dyDescent="0.2"/>
    <row r="55" s="11" customFormat="1" x14ac:dyDescent="0.2"/>
    <row r="56" s="11" customFormat="1" x14ac:dyDescent="0.2"/>
    <row r="57" s="11" customFormat="1" x14ac:dyDescent="0.2"/>
    <row r="58" s="11" customFormat="1" x14ac:dyDescent="0.2"/>
    <row r="59" s="11" customFormat="1" x14ac:dyDescent="0.2"/>
    <row r="60" s="11" customFormat="1" x14ac:dyDescent="0.2"/>
    <row r="61" s="11" customFormat="1" x14ac:dyDescent="0.2"/>
    <row r="62" s="11" customFormat="1" x14ac:dyDescent="0.2"/>
    <row r="63" s="11" customFormat="1" x14ac:dyDescent="0.2"/>
    <row r="64" s="11" customFormat="1" x14ac:dyDescent="0.2"/>
    <row r="65" s="11" customFormat="1" x14ac:dyDescent="0.2"/>
    <row r="66" s="11" customFormat="1" x14ac:dyDescent="0.2"/>
    <row r="67" s="11" customFormat="1" x14ac:dyDescent="0.2"/>
    <row r="68" s="11" customFormat="1" x14ac:dyDescent="0.2"/>
    <row r="69" s="11" customFormat="1" x14ac:dyDescent="0.2"/>
    <row r="70" s="11" customFormat="1" x14ac:dyDescent="0.2"/>
    <row r="71" s="11" customFormat="1" x14ac:dyDescent="0.2"/>
    <row r="72" s="11" customFormat="1" x14ac:dyDescent="0.2"/>
    <row r="73" s="11" customFormat="1" x14ac:dyDescent="0.2"/>
    <row r="74" s="11" customFormat="1" x14ac:dyDescent="0.2"/>
    <row r="75" s="11" customFormat="1" x14ac:dyDescent="0.2"/>
    <row r="76" s="11" customFormat="1" x14ac:dyDescent="0.2"/>
    <row r="77" s="11" customFormat="1" x14ac:dyDescent="0.2"/>
    <row r="78" s="11" customFormat="1" x14ac:dyDescent="0.2"/>
    <row r="79" s="11" customFormat="1" x14ac:dyDescent="0.2"/>
    <row r="80" s="11" customFormat="1" x14ac:dyDescent="0.2"/>
    <row r="81" s="11" customFormat="1" x14ac:dyDescent="0.2"/>
    <row r="82" s="11" customFormat="1" x14ac:dyDescent="0.2"/>
    <row r="83" s="11" customFormat="1" x14ac:dyDescent="0.2"/>
    <row r="84" s="11" customFormat="1" x14ac:dyDescent="0.2"/>
    <row r="85" s="11" customFormat="1" x14ac:dyDescent="0.2"/>
    <row r="86" s="11" customFormat="1" x14ac:dyDescent="0.2"/>
    <row r="87" s="11" customFormat="1" x14ac:dyDescent="0.2"/>
    <row r="88" s="11" customFormat="1" x14ac:dyDescent="0.2"/>
    <row r="89" s="11" customFormat="1" x14ac:dyDescent="0.2"/>
    <row r="90" s="11" customFormat="1" x14ac:dyDescent="0.2"/>
    <row r="91" s="11" customFormat="1" x14ac:dyDescent="0.2"/>
    <row r="92" s="11" customFormat="1" x14ac:dyDescent="0.2"/>
    <row r="93" s="11" customFormat="1" x14ac:dyDescent="0.2"/>
    <row r="94" s="11" customFormat="1" x14ac:dyDescent="0.2"/>
    <row r="95" s="11" customFormat="1" x14ac:dyDescent="0.2"/>
    <row r="96" s="11" customFormat="1" x14ac:dyDescent="0.2"/>
    <row r="97" s="11" customFormat="1" x14ac:dyDescent="0.2"/>
    <row r="98" s="11" customFormat="1" x14ac:dyDescent="0.2"/>
    <row r="99" s="11" customFormat="1" x14ac:dyDescent="0.2"/>
    <row r="100" s="11" customFormat="1" x14ac:dyDescent="0.2"/>
    <row r="101" s="11" customFormat="1" x14ac:dyDescent="0.2"/>
    <row r="102" s="11" customFormat="1" x14ac:dyDescent="0.2"/>
    <row r="103" s="11" customFormat="1" x14ac:dyDescent="0.2"/>
    <row r="104" s="11" customFormat="1" x14ac:dyDescent="0.2"/>
    <row r="105" s="11" customFormat="1" x14ac:dyDescent="0.2"/>
    <row r="106" s="11" customFormat="1" x14ac:dyDescent="0.2"/>
    <row r="107" s="11" customFormat="1" x14ac:dyDescent="0.2"/>
    <row r="108" s="11" customFormat="1" x14ac:dyDescent="0.2"/>
    <row r="109" s="11" customFormat="1" x14ac:dyDescent="0.2"/>
    <row r="110" s="11" customFormat="1" x14ac:dyDescent="0.2"/>
    <row r="111" s="11" customFormat="1" x14ac:dyDescent="0.2"/>
    <row r="112" s="11" customFormat="1" x14ac:dyDescent="0.2"/>
    <row r="113" s="11" customFormat="1" x14ac:dyDescent="0.2"/>
    <row r="114" s="11" customFormat="1" x14ac:dyDescent="0.2"/>
    <row r="115" s="11" customFormat="1" x14ac:dyDescent="0.2"/>
    <row r="116" s="11" customFormat="1" x14ac:dyDescent="0.2"/>
    <row r="117" s="11" customFormat="1" x14ac:dyDescent="0.2"/>
    <row r="118" s="11" customFormat="1" x14ac:dyDescent="0.2"/>
    <row r="119" s="11" customFormat="1" x14ac:dyDescent="0.2"/>
    <row r="120" s="11" customFormat="1" x14ac:dyDescent="0.2"/>
    <row r="121" s="11" customFormat="1" x14ac:dyDescent="0.2"/>
    <row r="122" s="11" customFormat="1" x14ac:dyDescent="0.2"/>
    <row r="123" s="11" customFormat="1" x14ac:dyDescent="0.2"/>
  </sheetData>
  <mergeCells count="20">
    <mergeCell ref="A1:D1"/>
    <mergeCell ref="A2:D2"/>
    <mergeCell ref="A7:D7"/>
    <mergeCell ref="A12:D12"/>
    <mergeCell ref="A17:D17"/>
    <mergeCell ref="G2:J2"/>
    <mergeCell ref="G7:J7"/>
    <mergeCell ref="G12:J12"/>
    <mergeCell ref="G17:J17"/>
    <mergeCell ref="M1:P1"/>
    <mergeCell ref="M2:P2"/>
    <mergeCell ref="M7:P7"/>
    <mergeCell ref="M12:P12"/>
    <mergeCell ref="M17:P17"/>
    <mergeCell ref="G1:J1"/>
    <mergeCell ref="S1:V1"/>
    <mergeCell ref="S2:V2"/>
    <mergeCell ref="S7:V7"/>
    <mergeCell ref="S12:V12"/>
    <mergeCell ref="S17:V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Vargas</dc:creator>
  <cp:lastModifiedBy>Daniel Vargas</cp:lastModifiedBy>
  <dcterms:created xsi:type="dcterms:W3CDTF">2019-04-26T16:06:00Z</dcterms:created>
  <dcterms:modified xsi:type="dcterms:W3CDTF">2019-05-17T22:05:29Z</dcterms:modified>
</cp:coreProperties>
</file>